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3"/>
    <sheet name="Clinical Add-ons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<sst xmlns="http://schemas.openxmlformats.org/spreadsheetml/2006/main" count="240" uniqueCount="175">
  <si>
    <t xml:space="preserve">BONITAS MEDICAL FUND TARIFF FOR SERVICES BY
CONTRACTED EMERGENCY MEDICAL SERVICES NETWORK
WITH EFFECT FROM 2026-01-01</t>
  </si>
  <si>
    <t xml:space="preserve">EMS Interhospital transfer (IHT)</t>
  </si>
  <si>
    <t xml:space="preserve">EMS Primary Response</t>
  </si>
  <si>
    <t xml:space="preserve">Tariff Code</t>
  </si>
  <si>
    <t xml:space="preserve">Tariff Description</t>
  </si>
  <si>
    <t xml:space="preserve">2026 Tariff Value</t>
  </si>
  <si>
    <t xml:space="preserve">All services for Emergency Medical Services are subject to pre-authorisation. Please contact the Bonitas EMS Dispatch Centre at 0861 112 666.</t>
  </si>
  <si>
    <t xml:space="preserve">Basic Life Support</t>
  </si>
  <si>
    <t xml:space="preserve">Up to 45 minutes</t>
  </si>
  <si>
    <t xml:space="preserve">Up to 60 minutes</t>
  </si>
  <si>
    <t xml:space="preserve">Every 15 minutes after</t>
  </si>
  <si>
    <t xml:space="preserve">&gt;100km transfer with patient</t>
  </si>
  <si>
    <t xml:space="preserve">&gt;100km transfer without patient</t>
  </si>
  <si>
    <t xml:space="preserve">Call out fee (under 100km travel to scene)</t>
  </si>
  <si>
    <t xml:space="preserve">Non patient carrying rate per km up to a maximum of 400kms</t>
  </si>
  <si>
    <t xml:space="preserve">Intermediate Life Support</t>
  </si>
  <si>
    <t xml:space="preserve">Advanced Life Support/MICU</t>
  </si>
  <si>
    <t xml:space="preserve">Resuscitation fee</t>
  </si>
  <si>
    <t xml:space="preserve">Doctor per Hour</t>
  </si>
  <si>
    <t xml:space="preserve">Aeromedical Transfers (VAT inclusive)</t>
  </si>
  <si>
    <t xml:space="preserve">Aeromedical Flying Time per 15 min Interval – Day Flight / Single Engine</t>
  </si>
  <si>
    <t xml:space="preserve">Aeromedical Flying Time per 15 min Interval – Night Flight / Twin Engine</t>
  </si>
  <si>
    <t xml:space="preserve">HEMS Cost (per hour)</t>
  </si>
  <si>
    <t xml:space="preserve">HEMS-01</t>
  </si>
  <si>
    <t xml:space="preserve">Bell 222</t>
  </si>
  <si>
    <t xml:space="preserve">HEMS-02</t>
  </si>
  <si>
    <t xml:space="preserve">Bell Long Ranger L4</t>
  </si>
  <si>
    <t xml:space="preserve">HEMS-03</t>
  </si>
  <si>
    <t xml:space="preserve">Bell Jet Ranger</t>
  </si>
  <si>
    <t xml:space="preserve">HEMS-04</t>
  </si>
  <si>
    <t xml:space="preserve">Eurocopter EC 130</t>
  </si>
  <si>
    <t xml:space="preserve">HEMS-05</t>
  </si>
  <si>
    <t xml:space="preserve">AgustaWestland AW119</t>
  </si>
  <si>
    <t xml:space="preserve">Staff Costs per hour</t>
  </si>
  <si>
    <t xml:space="preserve">Doctor</t>
  </si>
  <si>
    <t xml:space="preserve">ICU Sister</t>
  </si>
  <si>
    <t xml:space="preserve">Paramedic</t>
  </si>
  <si>
    <t xml:space="preserve">BONITAS EMS CLINICAL ADD-ON TARIFF — 2026
Procedures, medications and consumables billed in addition to transport</t>
  </si>
  <si>
    <t xml:space="preserve">Description</t>
  </si>
  <si>
    <t xml:space="preserve">Category</t>
  </si>
  <si>
    <t xml:space="preserve">Unit</t>
  </si>
  <si>
    <t xml:space="preserve">2026 Tariff Value (R)</t>
  </si>
  <si>
    <t xml:space="preserve">Procedures</t>
  </si>
  <si>
    <t xml:space="preserve">60001</t>
  </si>
  <si>
    <t xml:space="preserve">IV Cannulation &amp; fluid administration</t>
  </si>
  <si>
    <t xml:space="preserve">procedure</t>
  </si>
  <si>
    <t xml:space="preserve">per procedure</t>
  </si>
  <si>
    <t xml:space="preserve">60002</t>
  </si>
  <si>
    <t xml:space="preserve">ECG monitoring &amp; 12-lead recording</t>
  </si>
  <si>
    <t xml:space="preserve">per recording</t>
  </si>
  <si>
    <t xml:space="preserve">60003</t>
  </si>
  <si>
    <t xml:space="preserve">Endotracheal intubation</t>
  </si>
  <si>
    <t xml:space="preserve">60004</t>
  </si>
  <si>
    <t xml:space="preserve">Defibrillation</t>
  </si>
  <si>
    <t xml:space="preserve">per shock</t>
  </si>
  <si>
    <t xml:space="preserve">60006</t>
  </si>
  <si>
    <t xml:space="preserve">Chest decompression (needle thoracostomy)</t>
  </si>
  <si>
    <t xml:space="preserve">60007</t>
  </si>
  <si>
    <t xml:space="preserve">Spinal immobilisation (collar + head blocks)</t>
  </si>
  <si>
    <t xml:space="preserve">per application</t>
  </si>
  <si>
    <t xml:space="preserve">60008</t>
  </si>
  <si>
    <t xml:space="preserve">Pulse oximetry monitoring</t>
  </si>
  <si>
    <t xml:space="preserve">per monitoring</t>
  </si>
  <si>
    <t xml:space="preserve">60009</t>
  </si>
  <si>
    <t xml:space="preserve">Cardioversion (synchronised)</t>
  </si>
  <si>
    <t xml:space="preserve">60010</t>
  </si>
  <si>
    <t xml:space="preserve">Nebulisation (bronchodilator)</t>
  </si>
  <si>
    <t xml:space="preserve">per session</t>
  </si>
  <si>
    <t xml:space="preserve">60011</t>
  </si>
  <si>
    <t xml:space="preserve">CPR (per 10-min block)</t>
  </si>
  <si>
    <t xml:space="preserve">per block</t>
  </si>
  <si>
    <t xml:space="preserve">60012</t>
  </si>
  <si>
    <t xml:space="preserve">Tourniquet application (commercial)</t>
  </si>
  <si>
    <t xml:space="preserve">60013</t>
  </si>
  <si>
    <t xml:space="preserve">Needle cricothyrotomy</t>
  </si>
  <si>
    <t xml:space="preserve">Medications (NAPPI-style)</t>
  </si>
  <si>
    <t xml:space="preserve">N701001</t>
  </si>
  <si>
    <t xml:space="preserve">Aspirin 300mg oral</t>
  </si>
  <si>
    <t xml:space="preserve">medication</t>
  </si>
  <si>
    <t xml:space="preserve">per dose</t>
  </si>
  <si>
    <t xml:space="preserve">N701002</t>
  </si>
  <si>
    <t xml:space="preserve">Adrenaline 1mg IV/IM</t>
  </si>
  <si>
    <t xml:space="preserve">per ampoule</t>
  </si>
  <si>
    <t xml:space="preserve">N701003</t>
  </si>
  <si>
    <t xml:space="preserve">Morphine 10mg IV</t>
  </si>
  <si>
    <t xml:space="preserve">N701005</t>
  </si>
  <si>
    <t xml:space="preserve">Nitrolingual spray 400mcg</t>
  </si>
  <si>
    <t xml:space="preserve">N701006</t>
  </si>
  <si>
    <t xml:space="preserve">Ipratropium + Salbutamol nebule 2.5ml</t>
  </si>
  <si>
    <t xml:space="preserve">per nebule</t>
  </si>
  <si>
    <t xml:space="preserve">N701007</t>
  </si>
  <si>
    <t xml:space="preserve">Amiodarone 150mg IV</t>
  </si>
  <si>
    <t xml:space="preserve">N701008</t>
  </si>
  <si>
    <t xml:space="preserve">Atropine 1mg IV</t>
  </si>
  <si>
    <t xml:space="preserve">N701009</t>
  </si>
  <si>
    <t xml:space="preserve">Dextrose 50% 50ml IV</t>
  </si>
  <si>
    <t xml:space="preserve">per vial</t>
  </si>
  <si>
    <t xml:space="preserve">N701010</t>
  </si>
  <si>
    <t xml:space="preserve">Midazolam 5mg IV</t>
  </si>
  <si>
    <t xml:space="preserve">N701011</t>
  </si>
  <si>
    <t xml:space="preserve">Naloxone 0.4mg IV</t>
  </si>
  <si>
    <t xml:space="preserve">N701012</t>
  </si>
  <si>
    <t xml:space="preserve">Paracetamol 1g IV</t>
  </si>
  <si>
    <t xml:space="preserve">N701013</t>
  </si>
  <si>
    <t xml:space="preserve">Tranexamic Acid 1g IV</t>
  </si>
  <si>
    <t xml:space="preserve">Consumables</t>
  </si>
  <si>
    <t xml:space="preserve">N701004</t>
  </si>
  <si>
    <t xml:space="preserve">Normal Saline 0.9% 1L</t>
  </si>
  <si>
    <t xml:space="preserve">consumable</t>
  </si>
  <si>
    <t xml:space="preserve">per bag</t>
  </si>
  <si>
    <t xml:space="preserve">60005</t>
  </si>
  <si>
    <t xml:space="preserve">Oxygen administration</t>
  </si>
  <si>
    <t xml:space="preserve">per litre</t>
  </si>
  <si>
    <t xml:space="preserve">C80001</t>
  </si>
  <si>
    <t xml:space="preserve">IV giving set (standard)</t>
  </si>
  <si>
    <t xml:space="preserve">per set</t>
  </si>
  <si>
    <t xml:space="preserve">C80002</t>
  </si>
  <si>
    <t xml:space="preserve">Cervical collar (adjustable)</t>
  </si>
  <si>
    <t xml:space="preserve">per unit</t>
  </si>
  <si>
    <t xml:space="preserve">C80003</t>
  </si>
  <si>
    <t xml:space="preserve">Burns dressing (large)</t>
  </si>
  <si>
    <t xml:space="preserve">per dressing</t>
  </si>
  <si>
    <t xml:space="preserve">C80004</t>
  </si>
  <si>
    <t xml:space="preserve">BVM resuscitator (single-use)</t>
  </si>
  <si>
    <t xml:space="preserve">C80005</t>
  </si>
  <si>
    <t xml:space="preserve">Nasopharyngeal airway</t>
  </si>
  <si>
    <t xml:space="preserve">C80006</t>
  </si>
  <si>
    <t xml:space="preserve">Suction catheter</t>
  </si>
  <si>
    <t xml:space="preserve">Equipment (usage fees)</t>
  </si>
  <si>
    <t xml:space="preserve">E90001</t>
  </si>
  <si>
    <t xml:space="preserve">Cardiac monitor / defibrillator usage</t>
  </si>
  <si>
    <t xml:space="preserve">equipment</t>
  </si>
  <si>
    <t xml:space="preserve">per use</t>
  </si>
  <si>
    <t xml:space="preserve">E90002</t>
  </si>
  <si>
    <t xml:space="preserve">Transport ventilator usage</t>
  </si>
  <si>
    <t xml:space="preserve">E90003</t>
  </si>
  <si>
    <t xml:space="preserve">Syringe driver / infusion pump</t>
  </si>
  <si>
    <t xml:space="preserve">E90004</t>
  </si>
  <si>
    <t xml:space="preserve">CPAP device usage</t>
  </si>
  <si>
    <t xml:space="preserve">Line items:</t>
  </si>
  <si>
    <t xml:space="preserve">BONITAS TARIFF SCHEDULE — TEST FILE</t>
  </si>
  <si>
    <t xml:space="preserve">STATUS:   FAKE / PLACEHOLDER — not for production billing.</t>
  </si>
  <si>
    <t xml:space="preserve">PURPOSE:  Drives the Pro-Forma Invoice calculator end-to-end while the</t>
  </si>
  <si>
    <t xml:space="preserve">          authoritative Bonitas 2026 tariff schedule is being finalised.</t>
  </si>
  <si>
    <t xml:space="preserve">STRUCTURE:</t>
  </si>
  <si>
    <t xml:space="preserve">  Sheet 1 'Items' mirrors the GEMS TRF007 layout exactly:</t>
  </si>
  <si>
    <t xml:space="preserve">    Col A = Tariff Code   Col B = Description</t>
  </si>
  <si>
    <t xml:space="preserve">    Col C = IHT Rate      Col D = Primary Response Rate</t>
  </si>
  <si>
    <t xml:space="preserve">  Rows are grouped by BLS / ILS / ALS-MICU / Aeromedical / HEMS / Staff.</t>
  </si>
  <si>
    <t xml:space="preserve">  This lets the existing /api/gems-tariff/import endpoint parse it</t>
  </si>
  <si>
    <t xml:space="preserve">  without code changes — the parser auto-detects 'IHT' and 'Primary'</t>
  </si>
  <si>
    <t xml:space="preserve">  column headers plus the section-header rows.</t>
  </si>
  <si>
    <t xml:space="preserve">  Sheet 2 'Clinical Add-ons' holds procedures, medications, consumables,</t>
  </si>
  <si>
    <t xml:space="preserve">  and equipment fees. These feed the AI stage of the tariff engine</t>
  </si>
  <si>
    <t xml:space="preserve">  which identifies add-on codes from the PRF narrative, then maps them</t>
  </si>
  <si>
    <t xml:space="preserve">  back to prices here.</t>
  </si>
  <si>
    <t xml:space="preserve">RATE BASIS (made up — not negotiated):</t>
  </si>
  <si>
    <t xml:space="preserve">  Roughly 8% above GEMS 2025 contracted rates to represent a mid-market</t>
  </si>
  <si>
    <t xml:space="preserve">  private scheme. Callout-fee-on-Primary is R0 (IFT only) per standard</t>
  </si>
  <si>
    <t xml:space="preserve">  SA EMS billing convention.</t>
  </si>
  <si>
    <t xml:space="preserve">INGESTION OPTIONS:</t>
  </si>
  <si>
    <t xml:space="preserve">  A) Upload 'Items' via POST /api/gems-tariff/import with</t>
  </si>
  <si>
    <t xml:space="preserve">     code_col='Tariff Code', description_col='Tariff Description',</t>
  </si>
  <si>
    <t xml:space="preserve">     primary_rate_col='EMS Primary Response - 2026 Tariff Value',</t>
  </si>
  <si>
    <t xml:space="preserve">     iht_rate_col='EMS Interhospital transfer (IHT) - 2026 Tariff Value'.</t>
  </si>
  <si>
    <t xml:space="preserve">     NOTE: the gems_tariffs table is GEMS-specific today. A scheme_id</t>
  </si>
  <si>
    <t xml:space="preserve">     column would need to be added for true multi-scheme storage.</t>
  </si>
  <si>
    <t xml:space="preserve">  B) Re-point backend/seed_bonitas_tariffs.py at this file so the</t>
  </si>
  <si>
    <t xml:space="preserve">     BillingGuideline.tariff_mappings JSONB is populated from Excel</t>
  </si>
  <si>
    <t xml:space="preserve">     instead of hardcoded rows. This is the safest no-schema-change path.</t>
  </si>
  <si>
    <t xml:space="preserve">WHEN THE REAL BONITAS FILE ARRIVES:</t>
  </si>
  <si>
    <t xml:space="preserve">  Replace this file — the column layout and section names must stay</t>
  </si>
  <si>
    <t xml:space="preserve">  identical to keep the parser and seed script unchanged.</t>
  </si>
  <si>
    <t xml:space="preserve">LAST UPDATED:  2026-04-24</t>
  </si>
  <si>
    <t xml:space="preserve">VERSION:       TEST-2026-01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</si>
</sst>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[RED]\(#,##0.00\);\-"/>
    <numFmt numFmtId="166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A6F7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B556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B0002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B5563"/>
        <bgColor rgb="FF008080"/>
      </patternFill>
    </fill>
    <fill>
      <patternFill patternType="solid">
        <fgColor rgb="FFF0F4F4"/>
        <bgColor rgb="FFFFF5E1"/>
      </patternFill>
    </fill>
    <fill>
      <patternFill patternType="solid">
        <fgColor rgb="FFFFF5E1"/>
        <bgColor rgb="FFF0F4F4"/>
      </patternFill>
    </fill>
    <fill>
      <patternFill patternType="solid">
        <fgColor rgb="FF14857A"/>
        <bgColor rgb="FF008080"/>
      </patternFill>
    </fill>
    <fill>
      <patternFill patternType="solid">
        <fgColor rgb="FFD6EEEA"/>
        <bgColor rgb="FFF0F4F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CDCF"/>
      </left>
      <right style="thin">
        <color rgb="FFBFCDCF"/>
      </right>
      <top style="thin">
        <color rgb="FFBFCDCF"/>
      </top>
      <bottom style="thin">
        <color rgb="FFBFCDCF"/>
      </bottom>
      <diagonal/>
    </border>
    <border diagonalUp="false" diagonalDown="false">
      <left style="thin">
        <color rgb="FFBFCDCF"/>
      </left>
      <right/>
      <top style="thin">
        <color rgb="FFBFCDCF"/>
      </top>
      <bottom style="thin">
        <color rgb="FFBFCD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14857A"/>
      <rgbColor rgb="FFBFCDCF"/>
      <rgbColor rgb="FF808080"/>
      <rgbColor rgb="FF9999FF"/>
      <rgbColor rgb="FF993366"/>
      <rgbColor rgb="FFFFF5E1"/>
      <rgbColor rgb="FFD6EE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4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F72"/>
      <rgbColor rgb="FF969696"/>
      <rgbColor rgb="FF0B556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8"/>
    <col collapsed="false" customWidth="true" hidden="false" outlineLevel="0" max="4" min="3" style="0" width="20"/>
  </cols>
  <sheetData>
    <row r="1" customFormat="false" ht="60" hidden="false" customHeight="true" outlineLevel="0" collapsed="false">
      <c r="A1" s="1" t="s">
        <v>0</v>
      </c>
      <c r="B1" s="1"/>
      <c r="C1" s="1" t="s">
        <v>1</v>
      </c>
      <c r="D1" s="1" t="s">
        <v>2</v>
      </c>
    </row>
    <row r="2" customFormat="false" ht="27.75" hidden="false" customHeight="true" outlineLevel="0" collapsed="false">
      <c r="A2" s="2" t="s">
        <v>3</v>
      </c>
      <c r="B2" s="2" t="s">
        <v>4</v>
      </c>
      <c r="C2" s="2" t="s">
        <v>5</v>
      </c>
      <c r="D2" s="2" t="s">
        <v>5</v>
      </c>
    </row>
    <row r="3" customFormat="false" ht="30" hidden="false" customHeight="true" outlineLevel="0" collapsed="false">
      <c r="A3" s="3" t="s">
        <v>6</v>
      </c>
      <c r="B3" s="3"/>
      <c r="C3" s="3"/>
      <c r="D3" s="3"/>
    </row>
    <row r="4" customFormat="false" ht="21.75" hidden="false" customHeight="true" outlineLevel="0" collapsed="false">
      <c r="A4" s="4" t="s">
        <v>7</v>
      </c>
      <c r="B4" s="4"/>
      <c r="C4" s="4"/>
      <c r="D4" s="4"/>
    </row>
    <row r="5" customFormat="false" ht="15" hidden="false" customHeight="false" outlineLevel="0" collapsed="false">
      <c r="A5" s="5" t="n">
        <v>200</v>
      </c>
      <c r="B5" s="6" t="s">
        <v>8</v>
      </c>
      <c r="C5" s="7" t="n">
        <v>2095.8</v>
      </c>
      <c r="D5" s="7" t="n">
        <v>2407.15</v>
      </c>
    </row>
    <row r="6" customFormat="false" ht="15" hidden="false" customHeight="false" outlineLevel="0" collapsed="false">
      <c r="A6" s="5" t="n">
        <v>202</v>
      </c>
      <c r="B6" s="6" t="s">
        <v>9</v>
      </c>
      <c r="C6" s="7" t="n">
        <v>2793.4</v>
      </c>
      <c r="D6" s="7" t="n">
        <v>3205.25</v>
      </c>
    </row>
    <row r="7" customFormat="false" ht="15" hidden="false" customHeight="false" outlineLevel="0" collapsed="false">
      <c r="A7" s="5" t="n">
        <v>203</v>
      </c>
      <c r="B7" s="6" t="s">
        <v>10</v>
      </c>
      <c r="C7" s="7" t="n">
        <v>698.4</v>
      </c>
      <c r="D7" s="7" t="n">
        <v>802.55</v>
      </c>
    </row>
    <row r="8" customFormat="false" ht="15" hidden="false" customHeight="false" outlineLevel="0" collapsed="false">
      <c r="A8" s="5" t="n">
        <v>211</v>
      </c>
      <c r="B8" s="6" t="s">
        <v>11</v>
      </c>
      <c r="C8" s="7" t="n">
        <v>34.85</v>
      </c>
      <c r="D8" s="7" t="n">
        <v>40</v>
      </c>
    </row>
    <row r="9" customFormat="false" ht="15" hidden="false" customHeight="false" outlineLevel="0" collapsed="false">
      <c r="A9" s="5" t="n">
        <v>212</v>
      </c>
      <c r="B9" s="6" t="s">
        <v>12</v>
      </c>
      <c r="C9" s="7" t="n">
        <v>12.4</v>
      </c>
      <c r="D9" s="7" t="n">
        <v>14.4</v>
      </c>
    </row>
    <row r="10" customFormat="false" ht="15" hidden="false" customHeight="false" outlineLevel="0" collapsed="false">
      <c r="A10" s="5" t="n">
        <v>204</v>
      </c>
      <c r="B10" s="6" t="s">
        <v>13</v>
      </c>
      <c r="C10" s="7" t="n">
        <v>799.8</v>
      </c>
      <c r="D10" s="7" t="n">
        <v>0</v>
      </c>
    </row>
    <row r="11" customFormat="false" ht="15" hidden="false" customHeight="false" outlineLevel="0" collapsed="false">
      <c r="A11" s="5" t="n">
        <v>213</v>
      </c>
      <c r="B11" s="6" t="s">
        <v>14</v>
      </c>
      <c r="C11" s="7" t="n">
        <v>11.95</v>
      </c>
      <c r="D11" s="7" t="n">
        <v>0</v>
      </c>
    </row>
    <row r="12" customFormat="false" ht="21.75" hidden="false" customHeight="true" outlineLevel="0" collapsed="false">
      <c r="A12" s="4" t="s">
        <v>15</v>
      </c>
      <c r="B12" s="4"/>
      <c r="C12" s="4"/>
      <c r="D12" s="4"/>
    </row>
    <row r="13" customFormat="false" ht="15" hidden="false" customHeight="false" outlineLevel="0" collapsed="false">
      <c r="A13" s="5" t="n">
        <v>225</v>
      </c>
      <c r="B13" s="6" t="s">
        <v>8</v>
      </c>
      <c r="C13" s="7" t="n">
        <v>2829.5</v>
      </c>
      <c r="D13" s="7" t="n">
        <v>3248</v>
      </c>
    </row>
    <row r="14" customFormat="false" ht="15" hidden="false" customHeight="false" outlineLevel="0" collapsed="false">
      <c r="A14" s="5" t="n">
        <v>227</v>
      </c>
      <c r="B14" s="6" t="s">
        <v>10</v>
      </c>
      <c r="C14" s="7" t="n">
        <v>943.15</v>
      </c>
      <c r="D14" s="7" t="n">
        <v>1082.8</v>
      </c>
    </row>
    <row r="15" customFormat="false" ht="15" hidden="false" customHeight="false" outlineLevel="0" collapsed="false">
      <c r="A15" s="5" t="n">
        <v>229</v>
      </c>
      <c r="B15" s="6" t="s">
        <v>11</v>
      </c>
      <c r="C15" s="7" t="n">
        <v>46.85</v>
      </c>
      <c r="D15" s="7" t="n">
        <v>53.9</v>
      </c>
    </row>
    <row r="16" customFormat="false" ht="15" hidden="false" customHeight="false" outlineLevel="0" collapsed="false">
      <c r="A16" s="5" t="n">
        <v>230</v>
      </c>
      <c r="B16" s="6" t="s">
        <v>12</v>
      </c>
      <c r="C16" s="7" t="n">
        <v>12.4</v>
      </c>
      <c r="D16" s="7" t="n">
        <v>14.4</v>
      </c>
    </row>
    <row r="17" customFormat="false" ht="15" hidden="false" customHeight="false" outlineLevel="0" collapsed="false">
      <c r="A17" s="5" t="n">
        <v>226</v>
      </c>
      <c r="B17" s="6" t="s">
        <v>13</v>
      </c>
      <c r="C17" s="7" t="n">
        <v>1198.95</v>
      </c>
      <c r="D17" s="7" t="n">
        <v>0</v>
      </c>
    </row>
    <row r="18" customFormat="false" ht="15" hidden="false" customHeight="false" outlineLevel="0" collapsed="false">
      <c r="A18" s="5" t="n">
        <v>228</v>
      </c>
      <c r="B18" s="6" t="s">
        <v>14</v>
      </c>
      <c r="C18" s="7" t="n">
        <v>11.95</v>
      </c>
      <c r="D18" s="7" t="n">
        <v>0</v>
      </c>
    </row>
    <row r="19" customFormat="false" ht="21.75" hidden="false" customHeight="true" outlineLevel="0" collapsed="false">
      <c r="A19" s="4" t="s">
        <v>16</v>
      </c>
      <c r="B19" s="4"/>
      <c r="C19" s="4"/>
      <c r="D19" s="4"/>
    </row>
    <row r="20" customFormat="false" ht="15" hidden="false" customHeight="false" outlineLevel="0" collapsed="false">
      <c r="A20" s="5" t="n">
        <v>231</v>
      </c>
      <c r="B20" s="6" t="s">
        <v>9</v>
      </c>
      <c r="C20" s="7" t="n">
        <v>4973.9</v>
      </c>
      <c r="D20" s="7" t="n">
        <v>5712.5</v>
      </c>
    </row>
    <row r="21" customFormat="false" ht="15" hidden="false" customHeight="false" outlineLevel="0" collapsed="false">
      <c r="A21" s="5" t="n">
        <v>233</v>
      </c>
      <c r="B21" s="6" t="s">
        <v>10</v>
      </c>
      <c r="C21" s="7" t="n">
        <v>1243.45</v>
      </c>
      <c r="D21" s="7" t="n">
        <v>1427.5</v>
      </c>
    </row>
    <row r="22" customFormat="false" ht="15" hidden="false" customHeight="false" outlineLevel="0" collapsed="false">
      <c r="A22" s="5" t="n">
        <v>241</v>
      </c>
      <c r="B22" s="6" t="s">
        <v>11</v>
      </c>
      <c r="C22" s="7" t="n">
        <v>61.85</v>
      </c>
      <c r="D22" s="7" t="n">
        <v>71.1</v>
      </c>
    </row>
    <row r="23" customFormat="false" ht="15" hidden="false" customHeight="false" outlineLevel="0" collapsed="false">
      <c r="A23" s="5" t="n">
        <v>242</v>
      </c>
      <c r="B23" s="6" t="s">
        <v>12</v>
      </c>
      <c r="C23" s="7" t="n">
        <v>12.4</v>
      </c>
      <c r="D23" s="7" t="n">
        <v>14.4</v>
      </c>
    </row>
    <row r="24" customFormat="false" ht="15" hidden="false" customHeight="false" outlineLevel="0" collapsed="false">
      <c r="A24" s="5" t="n">
        <v>251</v>
      </c>
      <c r="B24" s="6" t="s">
        <v>17</v>
      </c>
      <c r="C24" s="7" t="n">
        <v>5417</v>
      </c>
      <c r="D24" s="7" t="n">
        <v>6221.3</v>
      </c>
    </row>
    <row r="25" customFormat="false" ht="15" hidden="false" customHeight="false" outlineLevel="0" collapsed="false">
      <c r="A25" s="5" t="n">
        <v>253</v>
      </c>
      <c r="B25" s="6" t="s">
        <v>18</v>
      </c>
      <c r="C25" s="7" t="n">
        <v>1950</v>
      </c>
      <c r="D25" s="7" t="n">
        <v>1950</v>
      </c>
    </row>
    <row r="26" customFormat="false" ht="15" hidden="false" customHeight="false" outlineLevel="0" collapsed="false">
      <c r="A26" s="5" t="n">
        <v>234</v>
      </c>
      <c r="B26" s="6" t="s">
        <v>13</v>
      </c>
      <c r="C26" s="7" t="n">
        <v>1198.95</v>
      </c>
      <c r="D26" s="7" t="n">
        <v>0</v>
      </c>
    </row>
    <row r="27" customFormat="false" ht="15" hidden="false" customHeight="false" outlineLevel="0" collapsed="false">
      <c r="A27" s="5" t="n">
        <v>243</v>
      </c>
      <c r="B27" s="6" t="s">
        <v>14</v>
      </c>
      <c r="C27" s="7" t="n">
        <v>11.95</v>
      </c>
      <c r="D27" s="7" t="n">
        <v>0</v>
      </c>
    </row>
    <row r="28" customFormat="false" ht="21.75" hidden="false" customHeight="true" outlineLevel="0" collapsed="false">
      <c r="A28" s="4" t="s">
        <v>19</v>
      </c>
      <c r="B28" s="4"/>
      <c r="C28" s="4"/>
      <c r="D28" s="4"/>
    </row>
    <row r="29" customFormat="false" ht="23.85" hidden="false" customHeight="false" outlineLevel="0" collapsed="false">
      <c r="A29" s="5" t="n">
        <v>500</v>
      </c>
      <c r="B29" s="6" t="s">
        <v>20</v>
      </c>
      <c r="C29" s="7" t="n">
        <v>9480</v>
      </c>
      <c r="D29" s="7" t="n">
        <v>9480</v>
      </c>
    </row>
    <row r="30" customFormat="false" ht="23.85" hidden="false" customHeight="false" outlineLevel="0" collapsed="false">
      <c r="A30" s="5" t="n">
        <v>501</v>
      </c>
      <c r="B30" s="6" t="s">
        <v>21</v>
      </c>
      <c r="C30" s="7" t="n">
        <v>12640</v>
      </c>
      <c r="D30" s="7" t="n">
        <v>12640</v>
      </c>
    </row>
    <row r="31" customFormat="false" ht="21.75" hidden="false" customHeight="true" outlineLevel="0" collapsed="false">
      <c r="A31" s="4" t="s">
        <v>22</v>
      </c>
      <c r="B31" s="4"/>
      <c r="C31" s="4"/>
      <c r="D31" s="4"/>
    </row>
    <row r="32" customFormat="false" ht="15" hidden="false" customHeight="false" outlineLevel="0" collapsed="false">
      <c r="A32" s="5" t="s">
        <v>23</v>
      </c>
      <c r="B32" s="6" t="s">
        <v>24</v>
      </c>
      <c r="C32" s="7" t="n">
        <v>60150</v>
      </c>
      <c r="D32" s="7" t="n">
        <v>60150</v>
      </c>
    </row>
    <row r="33" customFormat="false" ht="15" hidden="false" customHeight="false" outlineLevel="0" collapsed="false">
      <c r="A33" s="5" t="s">
        <v>25</v>
      </c>
      <c r="B33" s="6" t="s">
        <v>26</v>
      </c>
      <c r="C33" s="7" t="n">
        <v>46145</v>
      </c>
      <c r="D33" s="7" t="n">
        <v>46145</v>
      </c>
    </row>
    <row r="34" customFormat="false" ht="15" hidden="false" customHeight="false" outlineLevel="0" collapsed="false">
      <c r="A34" s="5" t="s">
        <v>27</v>
      </c>
      <c r="B34" s="6" t="s">
        <v>28</v>
      </c>
      <c r="C34" s="7" t="n">
        <v>46145</v>
      </c>
      <c r="D34" s="7" t="n">
        <v>46145</v>
      </c>
    </row>
    <row r="35" customFormat="false" ht="15" hidden="false" customHeight="false" outlineLevel="0" collapsed="false">
      <c r="A35" s="5" t="s">
        <v>29</v>
      </c>
      <c r="B35" s="6" t="s">
        <v>30</v>
      </c>
      <c r="C35" s="7" t="n">
        <v>60150</v>
      </c>
      <c r="D35" s="7" t="n">
        <v>60150</v>
      </c>
    </row>
    <row r="36" customFormat="false" ht="15" hidden="false" customHeight="false" outlineLevel="0" collapsed="false">
      <c r="A36" s="5" t="s">
        <v>31</v>
      </c>
      <c r="B36" s="6" t="s">
        <v>32</v>
      </c>
      <c r="C36" s="7" t="n">
        <v>60150</v>
      </c>
      <c r="D36" s="7" t="n">
        <v>60150</v>
      </c>
    </row>
    <row r="37" customFormat="false" ht="21.75" hidden="false" customHeight="true" outlineLevel="0" collapsed="false">
      <c r="A37" s="4" t="s">
        <v>33</v>
      </c>
      <c r="B37" s="4"/>
      <c r="C37" s="4"/>
      <c r="D37" s="4"/>
    </row>
    <row r="38" customFormat="false" ht="15" hidden="false" customHeight="false" outlineLevel="0" collapsed="false">
      <c r="A38" s="5" t="n">
        <v>621</v>
      </c>
      <c r="B38" s="6" t="s">
        <v>34</v>
      </c>
      <c r="C38" s="7" t="n">
        <v>1950</v>
      </c>
      <c r="D38" s="7" t="n">
        <v>1950</v>
      </c>
    </row>
    <row r="39" customFormat="false" ht="15" hidden="false" customHeight="false" outlineLevel="0" collapsed="false">
      <c r="A39" s="5" t="n">
        <v>623</v>
      </c>
      <c r="B39" s="6" t="s">
        <v>35</v>
      </c>
      <c r="C39" s="7" t="n">
        <v>1120</v>
      </c>
      <c r="D39" s="7" t="n">
        <v>1120</v>
      </c>
    </row>
    <row r="40" customFormat="false" ht="15" hidden="false" customHeight="false" outlineLevel="0" collapsed="false">
      <c r="A40" s="5" t="n">
        <v>625</v>
      </c>
      <c r="B40" s="6" t="s">
        <v>36</v>
      </c>
      <c r="C40" s="7" t="n">
        <v>895</v>
      </c>
      <c r="D40" s="7" t="n">
        <v>895</v>
      </c>
    </row>
  </sheetData>
  <mergeCells count="8">
    <mergeCell ref="A1:B1"/>
    <mergeCell ref="A3:D3"/>
    <mergeCell ref="A4:D4"/>
    <mergeCell ref="A12:D12"/>
    <mergeCell ref="A19:D19"/>
    <mergeCell ref="A28:D28"/>
    <mergeCell ref="A31:D31"/>
    <mergeCell ref="A37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22"/>
  </cols>
  <sheetData>
    <row r="1" customFormat="false" ht="39.75" hidden="false" customHeight="true" outlineLevel="0" collapsed="false">
      <c r="A1" s="8" t="s">
        <v>37</v>
      </c>
      <c r="B1" s="8"/>
      <c r="C1" s="8"/>
      <c r="D1" s="8"/>
      <c r="E1" s="8"/>
    </row>
    <row r="2" customFormat="false" ht="24" hidden="false" customHeight="true" outlineLevel="0" collapsed="false">
      <c r="A2" s="2" t="s">
        <v>3</v>
      </c>
      <c r="B2" s="2" t="s">
        <v>38</v>
      </c>
      <c r="C2" s="2" t="s">
        <v>39</v>
      </c>
      <c r="D2" s="2" t="s">
        <v>40</v>
      </c>
      <c r="E2" s="2" t="s">
        <v>41</v>
      </c>
    </row>
    <row r="3" customFormat="false" ht="19.5" hidden="false" customHeight="true" outlineLevel="0" collapsed="false">
      <c r="A3" s="9" t="s">
        <v>42</v>
      </c>
      <c r="B3" s="9"/>
      <c r="C3" s="9"/>
      <c r="D3" s="9"/>
      <c r="E3" s="9"/>
    </row>
    <row r="4" customFormat="false" ht="15" hidden="false" customHeight="false" outlineLevel="0" collapsed="false">
      <c r="A4" s="5" t="s">
        <v>43</v>
      </c>
      <c r="B4" s="6" t="s">
        <v>44</v>
      </c>
      <c r="C4" s="5" t="s">
        <v>45</v>
      </c>
      <c r="D4" s="5" t="s">
        <v>46</v>
      </c>
      <c r="E4" s="10" t="n">
        <v>198</v>
      </c>
    </row>
    <row r="5" customFormat="false" ht="15" hidden="false" customHeight="false" outlineLevel="0" collapsed="false">
      <c r="A5" s="5" t="s">
        <v>47</v>
      </c>
      <c r="B5" s="6" t="s">
        <v>48</v>
      </c>
      <c r="C5" s="5" t="s">
        <v>45</v>
      </c>
      <c r="D5" s="5" t="s">
        <v>49</v>
      </c>
      <c r="E5" s="10" t="n">
        <v>235</v>
      </c>
    </row>
    <row r="6" customFormat="false" ht="15" hidden="false" customHeight="false" outlineLevel="0" collapsed="false">
      <c r="A6" s="5" t="s">
        <v>50</v>
      </c>
      <c r="B6" s="6" t="s">
        <v>51</v>
      </c>
      <c r="C6" s="5" t="s">
        <v>45</v>
      </c>
      <c r="D6" s="5" t="s">
        <v>46</v>
      </c>
      <c r="E6" s="10" t="n">
        <v>945</v>
      </c>
    </row>
    <row r="7" customFormat="false" ht="15" hidden="false" customHeight="false" outlineLevel="0" collapsed="false">
      <c r="A7" s="5" t="s">
        <v>52</v>
      </c>
      <c r="B7" s="6" t="s">
        <v>53</v>
      </c>
      <c r="C7" s="5" t="s">
        <v>45</v>
      </c>
      <c r="D7" s="5" t="s">
        <v>54</v>
      </c>
      <c r="E7" s="10" t="n">
        <v>770</v>
      </c>
    </row>
    <row r="8" customFormat="false" ht="15" hidden="false" customHeight="false" outlineLevel="0" collapsed="false">
      <c r="A8" s="5" t="s">
        <v>55</v>
      </c>
      <c r="B8" s="6" t="s">
        <v>56</v>
      </c>
      <c r="C8" s="5" t="s">
        <v>45</v>
      </c>
      <c r="D8" s="5" t="s">
        <v>46</v>
      </c>
      <c r="E8" s="10" t="n">
        <v>598</v>
      </c>
    </row>
    <row r="9" customFormat="false" ht="15" hidden="false" customHeight="false" outlineLevel="0" collapsed="false">
      <c r="A9" s="5" t="s">
        <v>57</v>
      </c>
      <c r="B9" s="6" t="s">
        <v>58</v>
      </c>
      <c r="C9" s="5" t="s">
        <v>45</v>
      </c>
      <c r="D9" s="5" t="s">
        <v>59</v>
      </c>
      <c r="E9" s="10" t="n">
        <v>332</v>
      </c>
    </row>
    <row r="10" customFormat="false" ht="15" hidden="false" customHeight="false" outlineLevel="0" collapsed="false">
      <c r="A10" s="5" t="s">
        <v>60</v>
      </c>
      <c r="B10" s="6" t="s">
        <v>61</v>
      </c>
      <c r="C10" s="5" t="s">
        <v>45</v>
      </c>
      <c r="D10" s="5" t="s">
        <v>62</v>
      </c>
      <c r="E10" s="10" t="n">
        <v>102</v>
      </c>
    </row>
    <row r="11" customFormat="false" ht="15" hidden="false" customHeight="false" outlineLevel="0" collapsed="false">
      <c r="A11" s="5" t="s">
        <v>63</v>
      </c>
      <c r="B11" s="6" t="s">
        <v>64</v>
      </c>
      <c r="C11" s="5" t="s">
        <v>45</v>
      </c>
      <c r="D11" s="5" t="s">
        <v>46</v>
      </c>
      <c r="E11" s="10" t="n">
        <v>815</v>
      </c>
    </row>
    <row r="12" customFormat="false" ht="15" hidden="false" customHeight="false" outlineLevel="0" collapsed="false">
      <c r="A12" s="5" t="s">
        <v>65</v>
      </c>
      <c r="B12" s="6" t="s">
        <v>66</v>
      </c>
      <c r="C12" s="5" t="s">
        <v>45</v>
      </c>
      <c r="D12" s="5" t="s">
        <v>67</v>
      </c>
      <c r="E12" s="10" t="n">
        <v>158</v>
      </c>
    </row>
    <row r="13" customFormat="false" ht="15" hidden="false" customHeight="false" outlineLevel="0" collapsed="false">
      <c r="A13" s="5" t="s">
        <v>68</v>
      </c>
      <c r="B13" s="6" t="s">
        <v>69</v>
      </c>
      <c r="C13" s="5" t="s">
        <v>45</v>
      </c>
      <c r="D13" s="5" t="s">
        <v>70</v>
      </c>
      <c r="E13" s="10" t="n">
        <v>420</v>
      </c>
    </row>
    <row r="14" customFormat="false" ht="15" hidden="false" customHeight="false" outlineLevel="0" collapsed="false">
      <c r="A14" s="5" t="s">
        <v>71</v>
      </c>
      <c r="B14" s="6" t="s">
        <v>72</v>
      </c>
      <c r="C14" s="5" t="s">
        <v>45</v>
      </c>
      <c r="D14" s="5" t="s">
        <v>59</v>
      </c>
      <c r="E14" s="10" t="n">
        <v>285</v>
      </c>
    </row>
    <row r="15" customFormat="false" ht="15" hidden="false" customHeight="false" outlineLevel="0" collapsed="false">
      <c r="A15" s="5" t="s">
        <v>73</v>
      </c>
      <c r="B15" s="6" t="s">
        <v>74</v>
      </c>
      <c r="C15" s="5" t="s">
        <v>45</v>
      </c>
      <c r="D15" s="5" t="s">
        <v>46</v>
      </c>
      <c r="E15" s="10" t="n">
        <v>890</v>
      </c>
    </row>
    <row r="16" customFormat="false" ht="19.5" hidden="false" customHeight="true" outlineLevel="0" collapsed="false">
      <c r="A16" s="9" t="s">
        <v>75</v>
      </c>
      <c r="B16" s="9"/>
      <c r="C16" s="9"/>
      <c r="D16" s="9"/>
      <c r="E16" s="9"/>
    </row>
    <row r="17" customFormat="false" ht="15" hidden="false" customHeight="false" outlineLevel="0" collapsed="false">
      <c r="A17" s="5" t="s">
        <v>76</v>
      </c>
      <c r="B17" s="6" t="s">
        <v>77</v>
      </c>
      <c r="C17" s="5" t="s">
        <v>78</v>
      </c>
      <c r="D17" s="5" t="s">
        <v>79</v>
      </c>
      <c r="E17" s="10" t="n">
        <v>27</v>
      </c>
    </row>
    <row r="18" customFormat="false" ht="15" hidden="false" customHeight="false" outlineLevel="0" collapsed="false">
      <c r="A18" s="5" t="s">
        <v>80</v>
      </c>
      <c r="B18" s="6" t="s">
        <v>81</v>
      </c>
      <c r="C18" s="5" t="s">
        <v>78</v>
      </c>
      <c r="D18" s="5" t="s">
        <v>82</v>
      </c>
      <c r="E18" s="10" t="n">
        <v>52</v>
      </c>
    </row>
    <row r="19" customFormat="false" ht="15" hidden="false" customHeight="false" outlineLevel="0" collapsed="false">
      <c r="A19" s="5" t="s">
        <v>83</v>
      </c>
      <c r="B19" s="6" t="s">
        <v>84</v>
      </c>
      <c r="C19" s="5" t="s">
        <v>78</v>
      </c>
      <c r="D19" s="5" t="s">
        <v>82</v>
      </c>
      <c r="E19" s="10" t="n">
        <v>88</v>
      </c>
    </row>
    <row r="20" customFormat="false" ht="15" hidden="false" customHeight="false" outlineLevel="0" collapsed="false">
      <c r="A20" s="5" t="s">
        <v>85</v>
      </c>
      <c r="B20" s="6" t="s">
        <v>86</v>
      </c>
      <c r="C20" s="5" t="s">
        <v>78</v>
      </c>
      <c r="D20" s="5" t="s">
        <v>79</v>
      </c>
      <c r="E20" s="10" t="n">
        <v>41</v>
      </c>
    </row>
    <row r="21" customFormat="false" ht="15" hidden="false" customHeight="false" outlineLevel="0" collapsed="false">
      <c r="A21" s="5" t="s">
        <v>87</v>
      </c>
      <c r="B21" s="6" t="s">
        <v>88</v>
      </c>
      <c r="C21" s="5" t="s">
        <v>78</v>
      </c>
      <c r="D21" s="5" t="s">
        <v>89</v>
      </c>
      <c r="E21" s="10" t="n">
        <v>36</v>
      </c>
    </row>
    <row r="22" customFormat="false" ht="15" hidden="false" customHeight="false" outlineLevel="0" collapsed="false">
      <c r="A22" s="5" t="s">
        <v>90</v>
      </c>
      <c r="B22" s="6" t="s">
        <v>91</v>
      </c>
      <c r="C22" s="5" t="s">
        <v>78</v>
      </c>
      <c r="D22" s="5" t="s">
        <v>82</v>
      </c>
      <c r="E22" s="10" t="n">
        <v>142</v>
      </c>
    </row>
    <row r="23" customFormat="false" ht="15" hidden="false" customHeight="false" outlineLevel="0" collapsed="false">
      <c r="A23" s="5" t="s">
        <v>92</v>
      </c>
      <c r="B23" s="6" t="s">
        <v>93</v>
      </c>
      <c r="C23" s="5" t="s">
        <v>78</v>
      </c>
      <c r="D23" s="5" t="s">
        <v>82</v>
      </c>
      <c r="E23" s="10" t="n">
        <v>45</v>
      </c>
    </row>
    <row r="24" customFormat="false" ht="15" hidden="false" customHeight="false" outlineLevel="0" collapsed="false">
      <c r="A24" s="5" t="s">
        <v>94</v>
      </c>
      <c r="B24" s="6" t="s">
        <v>95</v>
      </c>
      <c r="C24" s="5" t="s">
        <v>78</v>
      </c>
      <c r="D24" s="5" t="s">
        <v>96</v>
      </c>
      <c r="E24" s="10" t="n">
        <v>58</v>
      </c>
    </row>
    <row r="25" customFormat="false" ht="15" hidden="false" customHeight="false" outlineLevel="0" collapsed="false">
      <c r="A25" s="5" t="s">
        <v>97</v>
      </c>
      <c r="B25" s="6" t="s">
        <v>98</v>
      </c>
      <c r="C25" s="5" t="s">
        <v>78</v>
      </c>
      <c r="D25" s="5" t="s">
        <v>82</v>
      </c>
      <c r="E25" s="10" t="n">
        <v>95</v>
      </c>
    </row>
    <row r="26" customFormat="false" ht="15" hidden="false" customHeight="false" outlineLevel="0" collapsed="false">
      <c r="A26" s="5" t="s">
        <v>99</v>
      </c>
      <c r="B26" s="6" t="s">
        <v>100</v>
      </c>
      <c r="C26" s="5" t="s">
        <v>78</v>
      </c>
      <c r="D26" s="5" t="s">
        <v>82</v>
      </c>
      <c r="E26" s="10" t="n">
        <v>78</v>
      </c>
    </row>
    <row r="27" customFormat="false" ht="15" hidden="false" customHeight="false" outlineLevel="0" collapsed="false">
      <c r="A27" s="5" t="s">
        <v>101</v>
      </c>
      <c r="B27" s="6" t="s">
        <v>102</v>
      </c>
      <c r="C27" s="5" t="s">
        <v>78</v>
      </c>
      <c r="D27" s="5" t="s">
        <v>96</v>
      </c>
      <c r="E27" s="10" t="n">
        <v>44</v>
      </c>
    </row>
    <row r="28" customFormat="false" ht="15" hidden="false" customHeight="false" outlineLevel="0" collapsed="false">
      <c r="A28" s="5" t="s">
        <v>103</v>
      </c>
      <c r="B28" s="6" t="s">
        <v>104</v>
      </c>
      <c r="C28" s="5" t="s">
        <v>78</v>
      </c>
      <c r="D28" s="5" t="s">
        <v>82</v>
      </c>
      <c r="E28" s="10" t="n">
        <v>185</v>
      </c>
    </row>
    <row r="29" customFormat="false" ht="19.5" hidden="false" customHeight="true" outlineLevel="0" collapsed="false">
      <c r="A29" s="9" t="s">
        <v>105</v>
      </c>
      <c r="B29" s="9"/>
      <c r="C29" s="9"/>
      <c r="D29" s="9"/>
      <c r="E29" s="9"/>
    </row>
    <row r="30" customFormat="false" ht="15" hidden="false" customHeight="false" outlineLevel="0" collapsed="false">
      <c r="A30" s="5" t="s">
        <v>106</v>
      </c>
      <c r="B30" s="6" t="s">
        <v>107</v>
      </c>
      <c r="C30" s="5" t="s">
        <v>108</v>
      </c>
      <c r="D30" s="5" t="s">
        <v>109</v>
      </c>
      <c r="E30" s="10" t="n">
        <v>72</v>
      </c>
    </row>
    <row r="31" customFormat="false" ht="15" hidden="false" customHeight="false" outlineLevel="0" collapsed="false">
      <c r="A31" s="5" t="s">
        <v>110</v>
      </c>
      <c r="B31" s="6" t="s">
        <v>111</v>
      </c>
      <c r="C31" s="5" t="s">
        <v>108</v>
      </c>
      <c r="D31" s="5" t="s">
        <v>112</v>
      </c>
      <c r="E31" s="10" t="n">
        <v>20</v>
      </c>
    </row>
    <row r="32" customFormat="false" ht="15" hidden="false" customHeight="false" outlineLevel="0" collapsed="false">
      <c r="A32" s="5" t="s">
        <v>113</v>
      </c>
      <c r="B32" s="6" t="s">
        <v>114</v>
      </c>
      <c r="C32" s="5" t="s">
        <v>108</v>
      </c>
      <c r="D32" s="5" t="s">
        <v>115</v>
      </c>
      <c r="E32" s="10" t="n">
        <v>68</v>
      </c>
    </row>
    <row r="33" customFormat="false" ht="15" hidden="false" customHeight="false" outlineLevel="0" collapsed="false">
      <c r="A33" s="5" t="s">
        <v>116</v>
      </c>
      <c r="B33" s="6" t="s">
        <v>117</v>
      </c>
      <c r="C33" s="5" t="s">
        <v>108</v>
      </c>
      <c r="D33" s="5" t="s">
        <v>118</v>
      </c>
      <c r="E33" s="10" t="n">
        <v>145</v>
      </c>
    </row>
    <row r="34" customFormat="false" ht="15" hidden="false" customHeight="false" outlineLevel="0" collapsed="false">
      <c r="A34" s="5" t="s">
        <v>119</v>
      </c>
      <c r="B34" s="6" t="s">
        <v>120</v>
      </c>
      <c r="C34" s="5" t="s">
        <v>108</v>
      </c>
      <c r="D34" s="5" t="s">
        <v>121</v>
      </c>
      <c r="E34" s="10" t="n">
        <v>92</v>
      </c>
    </row>
    <row r="35" customFormat="false" ht="15" hidden="false" customHeight="false" outlineLevel="0" collapsed="false">
      <c r="A35" s="5" t="s">
        <v>122</v>
      </c>
      <c r="B35" s="6" t="s">
        <v>123</v>
      </c>
      <c r="C35" s="5" t="s">
        <v>108</v>
      </c>
      <c r="D35" s="5" t="s">
        <v>118</v>
      </c>
      <c r="E35" s="10" t="n">
        <v>220</v>
      </c>
    </row>
    <row r="36" customFormat="false" ht="15" hidden="false" customHeight="false" outlineLevel="0" collapsed="false">
      <c r="A36" s="5" t="s">
        <v>124</v>
      </c>
      <c r="B36" s="6" t="s">
        <v>125</v>
      </c>
      <c r="C36" s="5" t="s">
        <v>108</v>
      </c>
      <c r="D36" s="5" t="s">
        <v>118</v>
      </c>
      <c r="E36" s="10" t="n">
        <v>48</v>
      </c>
    </row>
    <row r="37" customFormat="false" ht="15" hidden="false" customHeight="false" outlineLevel="0" collapsed="false">
      <c r="A37" s="5" t="s">
        <v>126</v>
      </c>
      <c r="B37" s="6" t="s">
        <v>127</v>
      </c>
      <c r="C37" s="5" t="s">
        <v>108</v>
      </c>
      <c r="D37" s="5" t="s">
        <v>118</v>
      </c>
      <c r="E37" s="10" t="n">
        <v>36</v>
      </c>
    </row>
    <row r="38" customFormat="false" ht="19.5" hidden="false" customHeight="true" outlineLevel="0" collapsed="false">
      <c r="A38" s="9" t="s">
        <v>128</v>
      </c>
      <c r="B38" s="9"/>
      <c r="C38" s="9"/>
      <c r="D38" s="9"/>
      <c r="E38" s="9"/>
    </row>
    <row r="39" customFormat="false" ht="15" hidden="false" customHeight="false" outlineLevel="0" collapsed="false">
      <c r="A39" s="5" t="s">
        <v>129</v>
      </c>
      <c r="B39" s="6" t="s">
        <v>130</v>
      </c>
      <c r="C39" s="5" t="s">
        <v>131</v>
      </c>
      <c r="D39" s="5" t="s">
        <v>132</v>
      </c>
      <c r="E39" s="10" t="n">
        <v>380</v>
      </c>
    </row>
    <row r="40" customFormat="false" ht="15" hidden="false" customHeight="false" outlineLevel="0" collapsed="false">
      <c r="A40" s="5" t="s">
        <v>133</v>
      </c>
      <c r="B40" s="6" t="s">
        <v>134</v>
      </c>
      <c r="C40" s="5" t="s">
        <v>131</v>
      </c>
      <c r="D40" s="5" t="s">
        <v>132</v>
      </c>
      <c r="E40" s="10" t="n">
        <v>620</v>
      </c>
    </row>
    <row r="41" customFormat="false" ht="15" hidden="false" customHeight="false" outlineLevel="0" collapsed="false">
      <c r="A41" s="5" t="s">
        <v>135</v>
      </c>
      <c r="B41" s="6" t="s">
        <v>136</v>
      </c>
      <c r="C41" s="5" t="s">
        <v>131</v>
      </c>
      <c r="D41" s="5" t="s">
        <v>132</v>
      </c>
      <c r="E41" s="10" t="n">
        <v>175</v>
      </c>
    </row>
    <row r="42" customFormat="false" ht="15" hidden="false" customHeight="false" outlineLevel="0" collapsed="false">
      <c r="A42" s="5" t="s">
        <v>137</v>
      </c>
      <c r="B42" s="6" t="s">
        <v>138</v>
      </c>
      <c r="C42" s="5" t="s">
        <v>131</v>
      </c>
      <c r="D42" s="5" t="s">
        <v>132</v>
      </c>
      <c r="E42" s="10" t="n">
        <v>295</v>
      </c>
    </row>
    <row r="44" customFormat="false" ht="15" hidden="false" customHeight="false" outlineLevel="0" collapsed="false">
      <c r="D44" s="11" t="s">
        <v>139</v>
      </c>
      <c r="E44" s="11" t="n">
        <f aca="false">COUNTA(A3:A42)-4</f>
        <v>36</v>
      </c>
    </row>
  </sheetData>
  <mergeCells count="5">
    <mergeCell ref="A1:E1"/>
    <mergeCell ref="A3:E3"/>
    <mergeCell ref="A16:E16"/>
    <mergeCell ref="A29:E29"/>
    <mergeCell ref="A38:E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25.5" hidden="false" customHeight="true" outlineLevel="0" collapsed="false">
      <c r="A1" s="12" t="s">
        <v>140</v>
      </c>
    </row>
    <row r="2" customFormat="false" ht="15" hidden="false" customHeight="false" outlineLevel="0" collapsed="false">
      <c r="A2" s="13"/>
    </row>
    <row r="3" customFormat="false" ht="15" hidden="false" customHeight="false" outlineLevel="0" collapsed="false">
      <c r="A3" s="13" t="s">
        <v>141</v>
      </c>
    </row>
    <row r="4" customFormat="false" ht="15" hidden="false" customHeight="false" outlineLevel="0" collapsed="false">
      <c r="A4" s="13" t="s">
        <v>142</v>
      </c>
    </row>
    <row r="5" customFormat="false" ht="15" hidden="false" customHeight="false" outlineLevel="0" collapsed="false">
      <c r="A5" s="13" t="s">
        <v>143</v>
      </c>
    </row>
    <row r="6" customFormat="false" ht="15" hidden="false" customHeight="false" outlineLevel="0" collapsed="false">
      <c r="A6" s="13"/>
    </row>
    <row r="7" customFormat="false" ht="15" hidden="false" customHeight="false" outlineLevel="0" collapsed="false">
      <c r="A7" s="13" t="s">
        <v>144</v>
      </c>
    </row>
    <row r="8" customFormat="false" ht="15" hidden="false" customHeight="false" outlineLevel="0" collapsed="false">
      <c r="A8" s="13" t="s">
        <v>145</v>
      </c>
    </row>
    <row r="9" customFormat="false" ht="15" hidden="false" customHeight="false" outlineLevel="0" collapsed="false">
      <c r="A9" s="13" t="s">
        <v>146</v>
      </c>
    </row>
    <row r="10" customFormat="false" ht="15" hidden="false" customHeight="false" outlineLevel="0" collapsed="false">
      <c r="A10" s="13" t="s">
        <v>147</v>
      </c>
    </row>
    <row r="11" customFormat="false" ht="15" hidden="false" customHeight="false" outlineLevel="0" collapsed="false">
      <c r="A11" s="13" t="s">
        <v>148</v>
      </c>
    </row>
    <row r="12" customFormat="false" ht="15" hidden="false" customHeight="false" outlineLevel="0" collapsed="false">
      <c r="A12" s="13" t="s">
        <v>149</v>
      </c>
    </row>
    <row r="13" customFormat="false" ht="15" hidden="false" customHeight="false" outlineLevel="0" collapsed="false">
      <c r="A13" s="13" t="s">
        <v>150</v>
      </c>
    </row>
    <row r="14" customFormat="false" ht="15" hidden="false" customHeight="false" outlineLevel="0" collapsed="false">
      <c r="A14" s="13" t="s">
        <v>151</v>
      </c>
    </row>
    <row r="15" customFormat="false" ht="15" hidden="false" customHeight="false" outlineLevel="0" collapsed="false">
      <c r="A15" s="13"/>
    </row>
    <row r="16" customFormat="false" ht="15" hidden="false" customHeight="false" outlineLevel="0" collapsed="false">
      <c r="A16" s="13" t="s">
        <v>152</v>
      </c>
    </row>
    <row r="17" customFormat="false" ht="15" hidden="false" customHeight="false" outlineLevel="0" collapsed="false">
      <c r="A17" s="13" t="s">
        <v>153</v>
      </c>
    </row>
    <row r="18" customFormat="false" ht="15" hidden="false" customHeight="false" outlineLevel="0" collapsed="false">
      <c r="A18" s="13" t="s">
        <v>154</v>
      </c>
    </row>
    <row r="19" customFormat="false" ht="15" hidden="false" customHeight="false" outlineLevel="0" collapsed="false">
      <c r="A19" s="13" t="s">
        <v>155</v>
      </c>
    </row>
    <row r="20" customFormat="false" ht="15" hidden="false" customHeight="false" outlineLevel="0" collapsed="false">
      <c r="A20" s="13"/>
    </row>
    <row r="21" customFormat="false" ht="15" hidden="false" customHeight="false" outlineLevel="0" collapsed="false">
      <c r="A21" s="13" t="s">
        <v>156</v>
      </c>
    </row>
    <row r="22" customFormat="false" ht="15" hidden="false" customHeight="false" outlineLevel="0" collapsed="false">
      <c r="A22" s="13" t="s">
        <v>157</v>
      </c>
    </row>
    <row r="23" customFormat="false" ht="15" hidden="false" customHeight="false" outlineLevel="0" collapsed="false">
      <c r="A23" s="13" t="s">
        <v>158</v>
      </c>
    </row>
    <row r="24" customFormat="false" ht="15" hidden="false" customHeight="false" outlineLevel="0" collapsed="false">
      <c r="A24" s="13" t="s">
        <v>159</v>
      </c>
    </row>
    <row r="25" customFormat="false" ht="15" hidden="false" customHeight="false" outlineLevel="0" collapsed="false">
      <c r="A25" s="13"/>
    </row>
    <row r="26" customFormat="false" ht="15" hidden="false" customHeight="false" outlineLevel="0" collapsed="false">
      <c r="A26" s="13" t="s">
        <v>160</v>
      </c>
    </row>
    <row r="27" customFormat="false" ht="15" hidden="false" customHeight="false" outlineLevel="0" collapsed="false">
      <c r="A27" s="13" t="s">
        <v>161</v>
      </c>
    </row>
    <row r="28" customFormat="false" ht="15" hidden="false" customHeight="false" outlineLevel="0" collapsed="false">
      <c r="A28" s="13" t="s">
        <v>162</v>
      </c>
    </row>
    <row r="29" customFormat="false" ht="15" hidden="false" customHeight="false" outlineLevel="0" collapsed="false">
      <c r="A29" s="13" t="s">
        <v>163</v>
      </c>
    </row>
    <row r="30" customFormat="false" ht="15" hidden="false" customHeight="false" outlineLevel="0" collapsed="false">
      <c r="A30" s="13" t="s">
        <v>164</v>
      </c>
    </row>
    <row r="31" customFormat="false" ht="15" hidden="false" customHeight="false" outlineLevel="0" collapsed="false">
      <c r="A31" s="13" t="s">
        <v>165</v>
      </c>
    </row>
    <row r="32" customFormat="false" ht="15" hidden="false" customHeight="false" outlineLevel="0" collapsed="false">
      <c r="A32" s="13" t="s">
        <v>166</v>
      </c>
    </row>
    <row r="33" customFormat="false" ht="15" hidden="false" customHeight="false" outlineLevel="0" collapsed="false">
      <c r="A33" s="13"/>
    </row>
    <row r="34" customFormat="false" ht="15" hidden="false" customHeight="false" outlineLevel="0" collapsed="false">
      <c r="A34" s="13" t="s">
        <v>167</v>
      </c>
    </row>
    <row r="35" customFormat="false" ht="15" hidden="false" customHeight="false" outlineLevel="0" collapsed="false">
      <c r="A35" s="13" t="s">
        <v>168</v>
      </c>
    </row>
    <row r="36" customFormat="false" ht="15" hidden="false" customHeight="false" outlineLevel="0" collapsed="false">
      <c r="A36" s="13" t="s">
        <v>169</v>
      </c>
    </row>
    <row r="37" customFormat="false" ht="15" hidden="false" customHeight="false" outlineLevel="0" collapsed="false">
      <c r="A37" s="13"/>
    </row>
    <row r="38" customFormat="false" ht="15" hidden="false" customHeight="false" outlineLevel="0" collapsed="false">
      <c r="A38" s="13" t="s">
        <v>170</v>
      </c>
    </row>
    <row r="39" customFormat="false" ht="15" hidden="false" customHeight="false" outlineLevel="0" collapsed="false">
      <c r="A39" s="13" t="s">
        <v>171</v>
      </c>
    </row>
    <row r="40" customFormat="false" ht="15" hidden="false" customHeight="false" outlineLevel="0" collapsed="false">
      <c r="A40" s="13" t="s">
        <v>172</v>
      </c>
    </row>
    <row r="41" customFormat="false" ht="15" hidden="false" customHeight="false" outlineLevel="0" collapsed="false">
      <c r="A41" s="13"/>
    </row>
    <row r="42" customFormat="false" ht="15" hidden="false" customHeight="false" outlineLevel="0" collapsed="false">
      <c r="A42" s="13" t="s">
        <v>173</v>
      </c>
    </row>
    <row r="43" customFormat="false" ht="15" hidden="false" customHeight="false" outlineLevel="0" collapsed="false">
      <c r="A43" s="13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2026-04-24T09:01:17Z</dcterms:created>
  <dc:creator>openpyxl</dc:creator>
  <dc:description/>
  <dc:language>en-US</dc:language>
  <cp:lastModifiedBy/>
  <dcterms:modified xsi:type="dcterms:W3CDTF">2026-04-24T09:01:17Z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